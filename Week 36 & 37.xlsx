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anfoss.sharepoint.com/sites/Training42Phase-EjectorCFD/Shared Documents/General/Validation/2025/"/>
    </mc:Choice>
  </mc:AlternateContent>
  <xr:revisionPtr revIDLastSave="213" documentId="8_{C652FF1E-7647-4520-B42C-E167F88FA5CF}" xr6:coauthVersionLast="47" xr6:coauthVersionMax="47" xr10:uidLastSave="{E1E2AB24-14DB-4739-8B9C-8349516C4C9B}"/>
  <bookViews>
    <workbookView xWindow="-120" yWindow="-120" windowWidth="51840" windowHeight="21120" xr2:uid="{75F8059A-53E3-45D0-BCE9-B0598B7CFFEB}"/>
  </bookViews>
  <sheets>
    <sheet name="CFDSimulation_Results_auto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Z12" i="1"/>
  <c r="AC12" i="1" s="1"/>
  <c r="AA12" i="1"/>
  <c r="AB12" i="1"/>
  <c r="AB11" i="1"/>
  <c r="Z4" i="1"/>
  <c r="Z5" i="1"/>
  <c r="Z6" i="1"/>
  <c r="Z7" i="1"/>
  <c r="Z8" i="1"/>
  <c r="Z9" i="1"/>
  <c r="Z10" i="1"/>
  <c r="Z11" i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W4" i="1"/>
  <c r="W5" i="1"/>
  <c r="W6" i="1"/>
  <c r="W7" i="1"/>
  <c r="W8" i="1"/>
  <c r="W9" i="1"/>
  <c r="AC9" i="1" s="1"/>
  <c r="W10" i="1"/>
  <c r="W11" i="1"/>
  <c r="AC11" i="1" s="1"/>
  <c r="W3" i="1"/>
  <c r="AC3" i="1" s="1"/>
  <c r="AB3" i="1"/>
  <c r="AA3" i="1"/>
  <c r="Z3" i="1"/>
  <c r="J12" i="1" a="1"/>
  <c r="K12" i="1" a="1"/>
  <c r="K12" i="1" l="1"/>
  <c r="J12" i="1"/>
  <c r="AC7" i="1"/>
  <c r="AC6" i="1"/>
  <c r="AC10" i="1"/>
  <c r="AC8" i="1"/>
  <c r="AC5" i="1"/>
  <c r="A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<sst xmlns="http://schemas.openxmlformats.org/spreadsheetml/2006/main" count="43" uniqueCount="42">
  <si>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F: File name
D: Test date
H: Hour
N: Test number</t>
  </si>
  <si>
    <t>DP_No</t>
  </si>
  <si>
    <t>Simulation</t>
  </si>
  <si>
    <t>Measurement</t>
  </si>
  <si>
    <t>Deviation</t>
  </si>
  <si>
    <t>P_Motive_bar</t>
  </si>
  <si>
    <t>T_Motive_C</t>
  </si>
  <si>
    <t>P_Suction_bar</t>
  </si>
  <si>
    <t>T_Suction_C</t>
  </si>
  <si>
    <t>P_Outlet_bar</t>
  </si>
  <si>
    <t>T_Outlet_C</t>
  </si>
  <si>
    <t>H_SN_J_kg</t>
  </si>
  <si>
    <t>H_MN_J_kg</t>
  </si>
  <si>
    <t>P_SN_bar</t>
  </si>
  <si>
    <t>CV_P_SN_%</t>
  </si>
  <si>
    <t>P_Out_bar</t>
  </si>
  <si>
    <t>CV_P_Out_%</t>
  </si>
  <si>
    <t>Mach_Max</t>
  </si>
  <si>
    <t>CV_Mach_Max_%</t>
  </si>
  <si>
    <t>MFR_Motive_kg_s</t>
  </si>
  <si>
    <t>CV_MFR_MN_%</t>
  </si>
  <si>
    <t>MFR_Suction_kg_s</t>
  </si>
  <si>
    <t>CV_MFR_SN_%</t>
  </si>
  <si>
    <t>Note</t>
  </si>
  <si>
    <t>ER</t>
  </si>
  <si>
    <t>Meas_MN</t>
  </si>
  <si>
    <t>Meas_SN</t>
  </si>
  <si>
    <t>Dev.
Motive Flow</t>
  </si>
  <si>
    <t>Dev.
Suction Flow</t>
  </si>
  <si>
    <t>Dev. ER</t>
  </si>
  <si>
    <t>Week36</t>
  </si>
  <si>
    <t>F293_DSep1_H1pm_N1</t>
  </si>
  <si>
    <t>F293_DSep1_N20</t>
  </si>
  <si>
    <t>F293_DSep2_N115</t>
  </si>
  <si>
    <t>F294_DSep2_N9</t>
  </si>
  <si>
    <t>F294_DSep3_N44</t>
  </si>
  <si>
    <t>F295_DSep3_N8</t>
  </si>
  <si>
    <t>F295_DSep4_N65</t>
  </si>
  <si>
    <t>F295_DSep4_N86</t>
  </si>
  <si>
    <t>F295_DSep5_N93</t>
  </si>
  <si>
    <t>Week 37</t>
  </si>
  <si>
    <t>F297_Dsep6_H9am_N27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</si>
</sst>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9" fontId="0" fillId="33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9" fontId="0" fillId="33" borderId="12" xfId="0" applyNumberFormat="1" applyFill="1" applyBorder="1" applyAlignment="1">
      <alignment horizontal="center" vertical="center"/>
    </xf>
    <xf numFmtId="0" fontId="0" fillId="0" borderId="10" xfId="0" applyBorder="1"/>
    <xf numFmtId="11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/>
    <xf numFmtId="0" fontId="0" fillId="0" borderId="10" xfId="0" applyBorder="1" applyAlignment="1">
      <alignment vertical="center"/>
    </xf>
    <xf numFmtId="2" fontId="0" fillId="0" borderId="10" xfId="0" applyNumberFormat="1" applyBorder="1"/>
    <xf numFmtId="0" fontId="16" fillId="0" borderId="1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REFPROP\REFPROP.XLA" TargetMode="External"/><Relationship Id="rId1" Type="http://schemas.openxmlformats.org/officeDocument/2006/relationships/externalLinkPath" Target="file:///C:\Program%20Files%20(x86)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FPROP"/>
    </sheetNames>
    <definedNames>
      <definedName name="REFPROP"/>
    </defined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918C-780D-49B9-922A-A830B308C414}">
  <dimension ref="A1:AC12"/>
  <sheetViews>
    <sheetView tabSelected="1" zoomScale="130" zoomScaleNormal="130" workbookViewId="0">
      <selection activeCell="A12" activeCellId="4" sqref="A4:XFD4 A9:XFD9 K1:K1048576 A11:XFD11 A12:XFD12"/>
    </sheetView>
  </sheetViews>
  <sheetFormatPr defaultRowHeight="15" x14ac:dyDescent="0.25"/>
  <cols>
    <col min="2" max="2" width="21.5703125" customWidth="1"/>
    <col min="3" max="3" width="6.7109375" customWidth="1"/>
    <col min="4" max="4" width="12.28515625" bestFit="1" customWidth="1"/>
    <col min="5" max="5" width="10.5703125" bestFit="1" customWidth="1"/>
    <col min="6" max="6" width="13.28515625" bestFit="1" customWidth="1"/>
    <col min="7" max="7" width="11.28515625" bestFit="1" customWidth="1"/>
    <col min="8" max="8" width="11.85546875" bestFit="1" customWidth="1"/>
    <col min="9" max="9" width="9.85546875" customWidth="1"/>
    <col min="10" max="14" width="12" customWidth="1"/>
    <col min="15" max="15" width="11.28515625" customWidth="1"/>
    <col min="16" max="16" width="12" customWidth="1"/>
    <col min="17" max="17" width="15.5703125" customWidth="1"/>
    <col min="18" max="18" width="15.7109375" bestFit="1" customWidth="1"/>
    <col min="19" max="19" width="13.85546875" customWidth="1"/>
    <col min="20" max="20" width="16.5703125" bestFit="1" customWidth="1"/>
    <col min="21" max="21" width="13.28515625" customWidth="1"/>
    <col min="22" max="22" width="5" customWidth="1"/>
    <col min="23" max="23" width="12" customWidth="1"/>
    <col min="24" max="24" width="9.28515625" bestFit="1" customWidth="1"/>
    <col min="25" max="25" width="8.7109375" bestFit="1" customWidth="1"/>
    <col min="26" max="26" width="7.42578125" customWidth="1"/>
    <col min="27" max="27" width="6.85546875" bestFit="1" customWidth="1"/>
    <col min="28" max="28" width="7.7109375" bestFit="1" customWidth="1"/>
    <col min="29" max="29" width="7.7109375" customWidth="1"/>
  </cols>
  <sheetData>
    <row r="1" spans="1:29" ht="23.45" customHeight="1" x14ac:dyDescent="0.25">
      <c r="B1" s="13" t="s">
        <v>0</v>
      </c>
      <c r="C1" s="18" t="s">
        <v>1</v>
      </c>
      <c r="D1" s="15" t="s">
        <v>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5" t="s">
        <v>3</v>
      </c>
      <c r="Y1" s="16"/>
      <c r="Z1" s="17"/>
      <c r="AA1" s="12" t="s">
        <v>4</v>
      </c>
      <c r="AB1" s="12"/>
      <c r="AC1" s="12"/>
    </row>
    <row r="2" spans="1:29" ht="45" x14ac:dyDescent="0.25">
      <c r="B2" s="13"/>
      <c r="C2" s="19"/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7" t="s">
        <v>25</v>
      </c>
      <c r="Y2" s="7" t="s">
        <v>26</v>
      </c>
      <c r="Z2" s="7" t="s">
        <v>24</v>
      </c>
      <c r="AA2" s="11" t="s">
        <v>27</v>
      </c>
      <c r="AB2" s="11" t="s">
        <v>28</v>
      </c>
      <c r="AC2" s="2" t="s">
        <v>29</v>
      </c>
    </row>
    <row r="3" spans="1:29" x14ac:dyDescent="0.25">
      <c r="A3" s="14" t="s">
        <v>30</v>
      </c>
      <c r="B3" s="4" t="s">
        <v>31</v>
      </c>
      <c r="C3" s="4">
        <v>1</v>
      </c>
      <c r="D3" s="4">
        <v>110.1</v>
      </c>
      <c r="E3" s="4">
        <v>37.1</v>
      </c>
      <c r="F3" s="4">
        <v>44.6</v>
      </c>
      <c r="G3" s="4">
        <v>13.4</v>
      </c>
      <c r="H3" s="4">
        <v>49.8</v>
      </c>
      <c r="I3" s="4">
        <v>14</v>
      </c>
      <c r="J3" s="4">
        <v>431923.10769999999</v>
      </c>
      <c r="K3" s="4">
        <v>291208.4546</v>
      </c>
      <c r="L3" s="4">
        <v>44.570676524999897</v>
      </c>
      <c r="M3" s="4">
        <v>4.2667387323198896E-3</v>
      </c>
      <c r="N3" s="4">
        <v>49.799983734999998</v>
      </c>
      <c r="O3" s="5">
        <v>5.4396002382309599E-5</v>
      </c>
      <c r="P3" s="4">
        <v>1.1022086256400001</v>
      </c>
      <c r="Q3" s="4">
        <v>0.163173912288432</v>
      </c>
      <c r="R3" s="4">
        <v>1.94208476904</v>
      </c>
      <c r="S3" s="4">
        <v>1.6903734646090001</v>
      </c>
      <c r="T3" s="4">
        <v>1.5604483166800001</v>
      </c>
      <c r="U3" s="4">
        <v>3.4658378573113899</v>
      </c>
      <c r="V3" s="4"/>
      <c r="W3" s="4">
        <f>T3/R3</f>
        <v>0.80349135195131138</v>
      </c>
      <c r="X3" s="8">
        <v>6946</v>
      </c>
      <c r="Y3" s="8">
        <v>6146</v>
      </c>
      <c r="Z3" s="7">
        <f>Y3/X3</f>
        <v>0.88482579902101932</v>
      </c>
      <c r="AA3" s="1">
        <f>((R3*3600)-X3)/X3</f>
        <v>6.5512767843363519E-3</v>
      </c>
      <c r="AB3" s="1">
        <f>((T3*3600)-Y3)/Y3</f>
        <v>-8.5972349487796848E-2</v>
      </c>
      <c r="AC3" s="3">
        <f t="shared" ref="AC3:AC12" si="0">(W3-Z3)/Z3</f>
        <v>-9.1921423583825462E-2</v>
      </c>
    </row>
    <row r="4" spans="1:29" x14ac:dyDescent="0.25">
      <c r="A4" s="14"/>
      <c r="B4" s="4" t="s">
        <v>32</v>
      </c>
      <c r="C4" s="4">
        <v>2</v>
      </c>
      <c r="D4" s="4">
        <v>110.1</v>
      </c>
      <c r="E4" s="4">
        <v>39.6</v>
      </c>
      <c r="F4" s="4">
        <v>36.5</v>
      </c>
      <c r="G4" s="4">
        <v>15.9</v>
      </c>
      <c r="H4" s="4">
        <v>45</v>
      </c>
      <c r="I4" s="4">
        <v>9.9</v>
      </c>
      <c r="J4" s="4">
        <v>453029.05440000002</v>
      </c>
      <c r="K4" s="4">
        <v>300687.51380000002</v>
      </c>
      <c r="L4" s="4">
        <v>36.493292844999999</v>
      </c>
      <c r="M4" s="4">
        <v>2.63534104170501E-4</v>
      </c>
      <c r="N4" s="4">
        <v>44.999987560000001</v>
      </c>
      <c r="O4" s="5">
        <v>1.20587893830869E-5</v>
      </c>
      <c r="P4" s="4">
        <v>1.4184167431000001</v>
      </c>
      <c r="Q4" s="4">
        <v>4.8216489799134801E-2</v>
      </c>
      <c r="R4" s="4">
        <v>1.83431535564</v>
      </c>
      <c r="S4" s="4">
        <v>1.64693496287367</v>
      </c>
      <c r="T4" s="4">
        <v>0.68139381618399897</v>
      </c>
      <c r="U4" s="4">
        <v>0.64917823428001298</v>
      </c>
      <c r="V4" s="4"/>
      <c r="W4" s="4">
        <f t="shared" ref="W4:W11" si="1">T4/R4</f>
        <v>0.37147037672061461</v>
      </c>
      <c r="X4" s="8">
        <v>6358</v>
      </c>
      <c r="Y4" s="8">
        <v>2136</v>
      </c>
      <c r="Z4" s="7">
        <f t="shared" ref="Z4:Z11" si="2">Y4/X4</f>
        <v>0.33595470273670963</v>
      </c>
      <c r="AA4" s="1">
        <f t="shared" ref="AA4:AA11" si="3">((R4*3600)-X4)/X4</f>
        <v>3.8618320274300171E-2</v>
      </c>
      <c r="AB4" s="1">
        <f t="shared" ref="AB4:AB10" si="4">((T4*3600)-Y4)/Y4</f>
        <v>0.14841654413033545</v>
      </c>
      <c r="AC4" s="3">
        <f t="shared" si="0"/>
        <v>0.10571566254197935</v>
      </c>
    </row>
    <row r="5" spans="1:29" x14ac:dyDescent="0.25">
      <c r="A5" s="14"/>
      <c r="B5" s="4" t="s">
        <v>33</v>
      </c>
      <c r="C5" s="4">
        <v>3</v>
      </c>
      <c r="D5" s="4">
        <v>109.6</v>
      </c>
      <c r="E5" s="4">
        <v>32.200000000000003</v>
      </c>
      <c r="F5" s="4">
        <v>46.1</v>
      </c>
      <c r="G5" s="4">
        <v>13</v>
      </c>
      <c r="H5" s="4">
        <v>52.9</v>
      </c>
      <c r="I5" s="4">
        <v>16.600000000000001</v>
      </c>
      <c r="J5" s="4">
        <v>426939.61680000002</v>
      </c>
      <c r="K5" s="4">
        <v>275032.12969999999</v>
      </c>
      <c r="L5" s="4">
        <v>46.087636869999997</v>
      </c>
      <c r="M5" s="4">
        <v>2.0035616168490801E-3</v>
      </c>
      <c r="N5" s="4">
        <v>52.899982514999998</v>
      </c>
      <c r="O5" s="5">
        <v>5.2017528002092101E-5</v>
      </c>
      <c r="P5" s="4">
        <v>0.98636821663399998</v>
      </c>
      <c r="Q5" s="4">
        <v>0.203239376529008</v>
      </c>
      <c r="R5" s="4">
        <v>2.2060892559599998</v>
      </c>
      <c r="S5" s="4">
        <v>0.56635336078790799</v>
      </c>
      <c r="T5" s="4">
        <v>1.23579251792</v>
      </c>
      <c r="U5" s="4">
        <v>2.9333196618980799</v>
      </c>
      <c r="V5" s="4"/>
      <c r="W5" s="4">
        <f t="shared" si="1"/>
        <v>0.56017339941317723</v>
      </c>
      <c r="X5" s="8">
        <v>8304</v>
      </c>
      <c r="Y5" s="8">
        <v>4595</v>
      </c>
      <c r="Z5" s="7">
        <f t="shared" si="2"/>
        <v>0.55334778420038533</v>
      </c>
      <c r="AA5" s="1">
        <f t="shared" si="3"/>
        <v>-4.360292371676306E-2</v>
      </c>
      <c r="AB5" s="1">
        <f t="shared" si="4"/>
        <v>-3.180564428465725E-2</v>
      </c>
      <c r="AC5" s="3">
        <f t="shared" si="0"/>
        <v>1.2335127035260927E-2</v>
      </c>
    </row>
    <row r="6" spans="1:29" x14ac:dyDescent="0.25">
      <c r="A6" s="14"/>
      <c r="B6" s="4" t="s">
        <v>34</v>
      </c>
      <c r="C6" s="4">
        <v>4</v>
      </c>
      <c r="D6" s="4">
        <v>99.8</v>
      </c>
      <c r="E6" s="4">
        <v>30.1</v>
      </c>
      <c r="F6" s="4">
        <v>37.1</v>
      </c>
      <c r="G6" s="4">
        <v>9</v>
      </c>
      <c r="H6" s="4">
        <v>41.1</v>
      </c>
      <c r="I6" s="4">
        <v>6.3</v>
      </c>
      <c r="J6" s="4">
        <v>441284.67560000002</v>
      </c>
      <c r="K6" s="4">
        <v>272022.62060000002</v>
      </c>
      <c r="L6" s="4">
        <v>37.074867922499998</v>
      </c>
      <c r="M6" s="4">
        <v>1.06193648851699E-2</v>
      </c>
      <c r="N6" s="4">
        <v>41.099981542499997</v>
      </c>
      <c r="O6" s="4">
        <v>1.5084015920596499E-4</v>
      </c>
      <c r="P6" s="4">
        <v>1.2547448505700001</v>
      </c>
      <c r="Q6" s="4">
        <v>0.32264967165977598</v>
      </c>
      <c r="R6" s="4">
        <v>2.05477742012999</v>
      </c>
      <c r="S6" s="4">
        <v>0.67774177830975502</v>
      </c>
      <c r="T6" s="4">
        <v>1.40467457975</v>
      </c>
      <c r="U6" s="4">
        <v>6.75962673790215</v>
      </c>
      <c r="V6" s="4"/>
      <c r="W6" s="4">
        <f t="shared" si="1"/>
        <v>0.68361398465296408</v>
      </c>
      <c r="X6" s="8">
        <v>7552</v>
      </c>
      <c r="Y6" s="8">
        <v>5128</v>
      </c>
      <c r="Z6" s="7">
        <f t="shared" si="2"/>
        <v>0.67902542372881358</v>
      </c>
      <c r="AA6" s="1">
        <f t="shared" si="3"/>
        <v>-2.0498051844814149E-2</v>
      </c>
      <c r="AB6" s="1">
        <f t="shared" si="4"/>
        <v>-1.3879000175507094E-2</v>
      </c>
      <c r="AC6" s="3">
        <f t="shared" si="0"/>
        <v>6.7575686620874719E-3</v>
      </c>
    </row>
    <row r="7" spans="1:29" x14ac:dyDescent="0.25">
      <c r="A7" s="14"/>
      <c r="B7" s="4" t="s">
        <v>35</v>
      </c>
      <c r="C7" s="4">
        <v>5</v>
      </c>
      <c r="D7" s="4">
        <v>99.8</v>
      </c>
      <c r="E7" s="4">
        <v>38.700000000000003</v>
      </c>
      <c r="F7" s="4">
        <v>30</v>
      </c>
      <c r="G7" s="4">
        <v>10.3</v>
      </c>
      <c r="H7" s="4">
        <v>35.9</v>
      </c>
      <c r="I7" s="4">
        <v>1</v>
      </c>
      <c r="J7" s="4">
        <v>456368.4167</v>
      </c>
      <c r="K7" s="4">
        <v>306317.55869999999</v>
      </c>
      <c r="L7" s="4">
        <v>29.981676645</v>
      </c>
      <c r="M7" s="4">
        <v>3.9232512994743899E-4</v>
      </c>
      <c r="N7" s="4">
        <v>35.899986282500002</v>
      </c>
      <c r="O7" s="5">
        <v>7.1215820361249299E-6</v>
      </c>
      <c r="P7" s="4">
        <v>1.56105812232</v>
      </c>
      <c r="Q7" s="4">
        <v>2.9894235647842701E-2</v>
      </c>
      <c r="R7" s="4">
        <v>1.53587106491</v>
      </c>
      <c r="S7" s="4">
        <v>1.4181633033333001</v>
      </c>
      <c r="T7" s="4">
        <v>0.92703879271699996</v>
      </c>
      <c r="U7" s="4">
        <v>0.338995732295576</v>
      </c>
      <c r="V7" s="4"/>
      <c r="W7" s="4">
        <f t="shared" si="1"/>
        <v>0.6035915474267517</v>
      </c>
      <c r="X7" s="8">
        <v>5115</v>
      </c>
      <c r="Y7" s="8">
        <v>3278</v>
      </c>
      <c r="Z7" s="7">
        <f t="shared" si="2"/>
        <v>0.64086021505376345</v>
      </c>
      <c r="AA7" s="1">
        <f t="shared" si="3"/>
        <v>8.0964972370674571E-2</v>
      </c>
      <c r="AB7" s="1">
        <f t="shared" si="4"/>
        <v>1.810239590640635E-2</v>
      </c>
      <c r="AC7" s="3">
        <f t="shared" si="0"/>
        <v>-5.8154129015303577E-2</v>
      </c>
    </row>
    <row r="8" spans="1:29" x14ac:dyDescent="0.25">
      <c r="A8" s="14"/>
      <c r="B8" s="4" t="s">
        <v>36</v>
      </c>
      <c r="C8" s="4">
        <v>6</v>
      </c>
      <c r="D8" s="4">
        <v>90.1</v>
      </c>
      <c r="E8" s="4">
        <v>32.5</v>
      </c>
      <c r="F8" s="4">
        <v>38.200000000000003</v>
      </c>
      <c r="G8" s="4">
        <v>7.2</v>
      </c>
      <c r="H8" s="4">
        <v>42.7</v>
      </c>
      <c r="I8" s="4">
        <v>7.8</v>
      </c>
      <c r="J8" s="4">
        <v>435703.886</v>
      </c>
      <c r="K8" s="4">
        <v>286466.33990000002</v>
      </c>
      <c r="L8" s="4">
        <v>38.186375634999997</v>
      </c>
      <c r="M8" s="4">
        <v>1.9992367695761898E-3</v>
      </c>
      <c r="N8" s="4">
        <v>42.699987045</v>
      </c>
      <c r="O8" s="5">
        <v>3.10243095421519E-5</v>
      </c>
      <c r="P8" s="4">
        <v>1.07331164279</v>
      </c>
      <c r="Q8" s="4">
        <v>9.8926039736010205E-2</v>
      </c>
      <c r="R8" s="4">
        <v>1.5317726515100001</v>
      </c>
      <c r="S8" s="4">
        <v>0.42445233680477201</v>
      </c>
      <c r="T8" s="4">
        <v>1.0700473689600001</v>
      </c>
      <c r="U8" s="4">
        <v>2.4524487695324</v>
      </c>
      <c r="V8" s="4"/>
      <c r="W8" s="4">
        <f t="shared" si="1"/>
        <v>0.69856800740316283</v>
      </c>
      <c r="X8" s="8">
        <v>5221</v>
      </c>
      <c r="Y8" s="8">
        <v>3936</v>
      </c>
      <c r="Z8" s="7">
        <f t="shared" si="2"/>
        <v>0.75387856732426739</v>
      </c>
      <c r="AA8" s="1">
        <f t="shared" si="3"/>
        <v>5.6192596329438828E-2</v>
      </c>
      <c r="AB8" s="1">
        <f t="shared" si="4"/>
        <v>-2.1298138146341433E-2</v>
      </c>
      <c r="AC8" s="3">
        <f t="shared" si="0"/>
        <v>-7.3367996277461114E-2</v>
      </c>
    </row>
    <row r="9" spans="1:29" x14ac:dyDescent="0.25">
      <c r="A9" s="14"/>
      <c r="B9" s="4" t="s">
        <v>37</v>
      </c>
      <c r="C9" s="4">
        <v>7</v>
      </c>
      <c r="D9" s="4">
        <v>89.9</v>
      </c>
      <c r="E9" s="4">
        <v>35.6</v>
      </c>
      <c r="F9" s="4">
        <v>41.1</v>
      </c>
      <c r="G9" s="4">
        <v>22.4</v>
      </c>
      <c r="H9" s="4">
        <v>46.8</v>
      </c>
      <c r="I9" s="4">
        <v>11.5</v>
      </c>
      <c r="J9" s="4">
        <v>454701.82929999998</v>
      </c>
      <c r="K9" s="4">
        <v>302759.4706</v>
      </c>
      <c r="L9" s="4">
        <v>41.101314899999998</v>
      </c>
      <c r="M9" s="4">
        <v>5.2001780922980502E-4</v>
      </c>
      <c r="N9" s="4">
        <v>46.799993354999998</v>
      </c>
      <c r="O9" s="5">
        <v>3.9752725795398E-5</v>
      </c>
      <c r="P9" s="4">
        <v>0.91809884242999995</v>
      </c>
      <c r="Q9" s="4">
        <v>5.3247854352206803E-2</v>
      </c>
      <c r="R9" s="4">
        <v>1.3030667654099899</v>
      </c>
      <c r="S9" s="4">
        <v>0.44113177532424303</v>
      </c>
      <c r="T9" s="4">
        <v>0.48528097373099999</v>
      </c>
      <c r="U9" s="4">
        <v>3.2594561735534899</v>
      </c>
      <c r="V9" s="4"/>
      <c r="W9" s="4">
        <f t="shared" si="1"/>
        <v>0.37241451214383003</v>
      </c>
      <c r="X9" s="8">
        <v>4271</v>
      </c>
      <c r="Y9" s="8">
        <v>1528</v>
      </c>
      <c r="Z9" s="7">
        <f t="shared" si="2"/>
        <v>0.357761648325919</v>
      </c>
      <c r="AA9" s="1">
        <f t="shared" si="3"/>
        <v>9.8347074567071702E-2</v>
      </c>
      <c r="AB9" s="1">
        <f t="shared" si="4"/>
        <v>0.14333213706256542</v>
      </c>
      <c r="AC9" s="3">
        <f t="shared" si="0"/>
        <v>4.0957055867996084E-2</v>
      </c>
    </row>
    <row r="10" spans="1:29" x14ac:dyDescent="0.25">
      <c r="A10" s="14"/>
      <c r="B10" s="4" t="s">
        <v>38</v>
      </c>
      <c r="C10" s="4">
        <v>8</v>
      </c>
      <c r="D10" s="4">
        <v>90</v>
      </c>
      <c r="E10" s="4">
        <v>37.5</v>
      </c>
      <c r="F10" s="4">
        <v>29.9</v>
      </c>
      <c r="G10" s="4">
        <v>-3.8</v>
      </c>
      <c r="H10" s="4">
        <v>35.200000000000003</v>
      </c>
      <c r="I10" s="4">
        <v>0.3</v>
      </c>
      <c r="J10" s="4">
        <v>436665.49249999999</v>
      </c>
      <c r="K10" s="4">
        <v>316298.62099999998</v>
      </c>
      <c r="L10" s="4">
        <v>29.8866510575</v>
      </c>
      <c r="M10" s="4">
        <v>4.8550985969957598E-4</v>
      </c>
      <c r="N10" s="4">
        <v>35.1999892475</v>
      </c>
      <c r="O10" s="5">
        <v>1.18000380728124E-5</v>
      </c>
      <c r="P10" s="4">
        <v>1.31476626659</v>
      </c>
      <c r="Q10" s="4">
        <v>0.14526312987482301</v>
      </c>
      <c r="R10" s="4">
        <v>1.1974558604700001</v>
      </c>
      <c r="S10" s="4">
        <v>10.449961614575599</v>
      </c>
      <c r="T10" s="4">
        <v>0.87948301631299997</v>
      </c>
      <c r="U10" s="4">
        <v>0.53391849221274501</v>
      </c>
      <c r="V10" s="4"/>
      <c r="W10" s="4">
        <f t="shared" si="1"/>
        <v>0.73445965345879549</v>
      </c>
      <c r="X10" s="8">
        <v>3817</v>
      </c>
      <c r="Y10" s="8">
        <v>3003</v>
      </c>
      <c r="Z10" s="7">
        <f t="shared" si="2"/>
        <v>0.78674351585014413</v>
      </c>
      <c r="AA10" s="1">
        <f t="shared" si="3"/>
        <v>0.12937938110872424</v>
      </c>
      <c r="AB10" s="1">
        <f t="shared" si="4"/>
        <v>5.4325294281318597E-2</v>
      </c>
      <c r="AC10" s="3">
        <f t="shared" si="0"/>
        <v>-6.6456044871054859E-2</v>
      </c>
    </row>
    <row r="11" spans="1:29" x14ac:dyDescent="0.25">
      <c r="A11" s="14"/>
      <c r="B11" s="4" t="s">
        <v>39</v>
      </c>
      <c r="C11" s="4">
        <v>9</v>
      </c>
      <c r="D11" s="4">
        <v>90.1</v>
      </c>
      <c r="E11" s="4">
        <v>29.5</v>
      </c>
      <c r="F11" s="4">
        <v>25.1</v>
      </c>
      <c r="G11" s="4">
        <v>-1.1000000000000001</v>
      </c>
      <c r="H11" s="4">
        <v>31.9</v>
      </c>
      <c r="I11" s="4">
        <v>-3.3</v>
      </c>
      <c r="J11" s="4">
        <v>450194.5097</v>
      </c>
      <c r="K11" s="4">
        <v>274391.00099999999</v>
      </c>
      <c r="L11" s="4">
        <v>25.091418172499999</v>
      </c>
      <c r="M11" s="4">
        <v>3.8151672016374302E-4</v>
      </c>
      <c r="N11" s="4">
        <v>31.899988544999999</v>
      </c>
      <c r="O11" s="5">
        <v>1.7406729814093801E-5</v>
      </c>
      <c r="P11" s="4">
        <v>1.5624519536899999</v>
      </c>
      <c r="Q11" s="4">
        <v>2.9588267570892401E-2</v>
      </c>
      <c r="R11" s="4">
        <v>1.7532663536199999</v>
      </c>
      <c r="S11" s="4">
        <v>0.65978463308318402</v>
      </c>
      <c r="T11" s="4">
        <v>0.59257206439400001</v>
      </c>
      <c r="U11" s="4">
        <v>0.59368504543462997</v>
      </c>
      <c r="V11" s="4"/>
      <c r="W11" s="4">
        <f t="shared" si="1"/>
        <v>0.33798176938176339</v>
      </c>
      <c r="X11" s="8">
        <v>6397</v>
      </c>
      <c r="Y11" s="8">
        <v>1765</v>
      </c>
      <c r="Z11" s="7">
        <f t="shared" si="2"/>
        <v>0.2759105830858215</v>
      </c>
      <c r="AA11" s="1">
        <f t="shared" si="3"/>
        <v>-1.3325172263248487E-2</v>
      </c>
      <c r="AB11" s="1">
        <f>((T11*3600)-Y11)/Y11</f>
        <v>0.20864557043535417</v>
      </c>
      <c r="AC11" s="3">
        <f t="shared" si="0"/>
        <v>0.2249684865354902</v>
      </c>
    </row>
    <row r="12" spans="1:29" x14ac:dyDescent="0.25">
      <c r="A12" s="9" t="s">
        <v>40</v>
      </c>
      <c r="B12" s="4" t="s">
        <v>41</v>
      </c>
      <c r="C12" s="4">
        <v>10</v>
      </c>
      <c r="D12" s="10">
        <v>99.741420769230771</v>
      </c>
      <c r="E12" s="10">
        <v>25.567570307692304</v>
      </c>
      <c r="F12" s="10">
        <v>45.041778307692304</v>
      </c>
      <c r="G12" s="10">
        <v>11.968922307692306</v>
      </c>
      <c r="H12" s="10">
        <v>53.771051461538477</v>
      </c>
      <c r="I12" s="10">
        <v>17.228264538461541</v>
      </c>
      <c r="J12" s="4" cm="1">
        <f t="array" ref="J12">[1]!REFPROP("H", "CO2", "PT", "MASS BASE SI", F12*100000, G12+273.15)</f>
        <v>427586.60251343803</v>
      </c>
      <c r="K12" s="4" cm="1">
        <f t="array" ref="K12">[1]!REFPROP("H", "CO2", "PT", "MASS BASE SI", D12*100000, E12+273.15)</f>
        <v>258085.77329116582</v>
      </c>
      <c r="L12" s="4">
        <v>45.038254989999999</v>
      </c>
      <c r="M12" s="4">
        <v>6.9279300000000003E-4</v>
      </c>
      <c r="N12" s="4">
        <v>53.771042319999999</v>
      </c>
      <c r="O12" s="5">
        <v>5.0899999999999997E-5</v>
      </c>
      <c r="P12" s="4">
        <v>0.88982845200000005</v>
      </c>
      <c r="Q12" s="4">
        <v>0.19806208</v>
      </c>
      <c r="R12" s="4">
        <v>2.2324456960000001</v>
      </c>
      <c r="S12" s="4">
        <v>0.48042602200000001</v>
      </c>
      <c r="T12" s="4">
        <v>0.52709888999999999</v>
      </c>
      <c r="U12" s="4">
        <v>5.173268427</v>
      </c>
      <c r="V12" s="4"/>
      <c r="W12" s="4">
        <f>T12/R12</f>
        <v>0.2361082694841953</v>
      </c>
      <c r="X12" s="8">
        <v>8197.9801373076916</v>
      </c>
      <c r="Y12" s="8">
        <v>1096.3022311538459</v>
      </c>
      <c r="Z12" s="7">
        <f t="shared" ref="Z12" si="5">Y12/X12</f>
        <v>0.13372833463754694</v>
      </c>
      <c r="AA12" s="1">
        <f t="shared" ref="AA12" si="6">((R12*3600)-X12)/X12</f>
        <v>-1.9660407686791909E-2</v>
      </c>
      <c r="AB12" s="1">
        <f>((T12*3600)-Y12)/Y12</f>
        <v>0.73086941727998078</v>
      </c>
      <c r="AC12" s="3">
        <f t="shared" si="0"/>
        <v>0.76558146876004785</v>
      </c>
    </row>
  </sheetData>
  <mergeCells count="6">
    <mergeCell ref="AA1:AC1"/>
    <mergeCell ref="B1:B2"/>
    <mergeCell ref="A3:A11"/>
    <mergeCell ref="X1:Z1"/>
    <mergeCell ref="D1:W1"/>
    <mergeCell ref="C1:C2"/>
  </mergeCells>
  <conditionalFormatting sqref="AA3:AC12">
    <cfRule type="cellIs" dxfId="0" priority="1" operator="greaterThan">
      <formula>0.1</formula>
    </cfRule>
  </conditionalFormatting>
  <pageMargins left="0.7" right="0.7" top="0.75" bottom="0.75" header="0.3" footer="0.3"/>
  <headerFooter>
    <oddFooter>&amp;C_x000D_&amp;1#&amp;"Calibri"&amp;10&amp;K000000 Classified as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3BB93A9B86B54598C77EC4647824E7" ma:contentTypeVersion="3" ma:contentTypeDescription="Create a new document." ma:contentTypeScope="" ma:versionID="71564f7b9ee0774187d97e61ee78ce1c">
  <xsd:schema xmlns:xsd="http://www.w3.org/2001/XMLSchema" xmlns:xs="http://www.w3.org/2001/XMLSchema" xmlns:p="http://schemas.microsoft.com/office/2006/metadata/properties" xmlns:ns2="747eb6c2-e510-4397-9c16-fbaab320463b" targetNamespace="http://schemas.microsoft.com/office/2006/metadata/properties" ma:root="true" ma:fieldsID="aa2ffeb1a7dc4e00289f3f48948d15a3" ns2:_="">
    <xsd:import namespace="747eb6c2-e510-4397-9c16-fbaab3204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eb6c2-e510-4397-9c16-fbaab3204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1BD051-2F2F-4494-8405-BDC4E53D42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436E79-BF65-4EE5-8D95-F76D9390EB2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95E532-83A9-4DF9-BBC1-2EDBC2E6E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7eb6c2-e510-4397-9c16-fbaab3204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CFDSimulation_Results_auto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Rahelehsadat Mostafavi</dc:creator>
  <cp:keywords/>
  <dc:description/>
  <cp:lastModifiedBy>Ahmed HARBI</cp:lastModifiedBy>
  <cp:revision/>
  <dcterms:created xsi:type="dcterms:W3CDTF">2025-09-08T06:32:04Z</dcterms:created>
  <dcterms:modified xsi:type="dcterms:W3CDTF">2025-10-22T13:55:05Z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0x010100153BB93A9B86B54598C77EC4647824E7</vt:lpwstr>
  </property>
</Properties>
</file>